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strofilo/Documents/Analysis_Tourism_Trends_Italy_2014-2024/Project/"/>
    </mc:Choice>
  </mc:AlternateContent>
  <xr:revisionPtr revIDLastSave="0" documentId="13_ncr:1_{10F68746-3F06-DA48-B1DE-2B6A76971902}" xr6:coauthVersionLast="47" xr6:coauthVersionMax="47" xr10:uidLastSave="{00000000-0000-0000-0000-000000000000}"/>
  <bookViews>
    <workbookView xWindow="0" yWindow="660" windowWidth="29400" windowHeight="18460" activeTab="2" xr2:uid="{A40944E0-8022-F249-BA03-10020B2C6FBD}"/>
  </bookViews>
  <sheets>
    <sheet name="Query_1" sheetId="1" r:id="rId1"/>
    <sheet name="Query_1_charts" sheetId="5" r:id="rId2"/>
    <sheet name="Query_6" sheetId="9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</calcChain>
</file>

<file path=xl/sharedStrings.xml><?xml version="1.0" encoding="utf-8"?>
<sst xmlns="http://schemas.openxmlformats.org/spreadsheetml/2006/main" count="68" uniqueCount="64">
  <si>
    <t>Year</t>
  </si>
  <si>
    <t>National_Arrivals</t>
  </si>
  <si>
    <t>National_Nights_Spent</t>
  </si>
  <si>
    <t>Arrivals_YoY_Perc</t>
  </si>
  <si>
    <t>Avg_Length_of_Stay</t>
  </si>
  <si>
    <t>6.62</t>
  </si>
  <si>
    <t>3.65</t>
  </si>
  <si>
    <t>6.33</t>
  </si>
  <si>
    <t>3.63</t>
  </si>
  <si>
    <t>2.21</t>
  </si>
  <si>
    <t>-57.64</t>
  </si>
  <si>
    <t>42.12</t>
  </si>
  <si>
    <t>51.02</t>
  </si>
  <si>
    <t>13.26</t>
  </si>
  <si>
    <t>4.75</t>
  </si>
  <si>
    <t>Row Labels</t>
  </si>
  <si>
    <t>Sum of National_Arrivals</t>
  </si>
  <si>
    <t>Average of Avg_Length_of_Stay</t>
  </si>
  <si>
    <t>Catanzaro</t>
  </si>
  <si>
    <t>Calabria</t>
  </si>
  <si>
    <t>Potenza</t>
  </si>
  <si>
    <t>Basilicata</t>
  </si>
  <si>
    <t>Bolzano/Bozen</t>
  </si>
  <si>
    <t>Bolzano-Bozen</t>
  </si>
  <si>
    <t>L'Aquila</t>
  </si>
  <si>
    <t>Abruzzo</t>
  </si>
  <si>
    <t>Ancona</t>
  </si>
  <si>
    <t>Marche</t>
  </si>
  <si>
    <t>Cagliari</t>
  </si>
  <si>
    <t>Sardegna</t>
  </si>
  <si>
    <t>Aosta</t>
  </si>
  <si>
    <t>Valle D'Aosta</t>
  </si>
  <si>
    <t>Trento</t>
  </si>
  <si>
    <t>Bari</t>
  </si>
  <si>
    <t>Puglia</t>
  </si>
  <si>
    <t>Palermo</t>
  </si>
  <si>
    <t>Sicilia</t>
  </si>
  <si>
    <t>Bologna</t>
  </si>
  <si>
    <t>Emilia-Romagna</t>
  </si>
  <si>
    <t>Perugia</t>
  </si>
  <si>
    <t>Umbria</t>
  </si>
  <si>
    <t>Campobasso</t>
  </si>
  <si>
    <t>Molise</t>
  </si>
  <si>
    <t>Trieste</t>
  </si>
  <si>
    <t>Friuli-Venezia Giulia</t>
  </si>
  <si>
    <t>Genova</t>
  </si>
  <si>
    <t>Liguria</t>
  </si>
  <si>
    <t>Napoli</t>
  </si>
  <si>
    <t>Campania</t>
  </si>
  <si>
    <t>Firenze</t>
  </si>
  <si>
    <t>Toscana</t>
  </si>
  <si>
    <t>Torino</t>
  </si>
  <si>
    <t>Piemonte</t>
  </si>
  <si>
    <t>Venezia</t>
  </si>
  <si>
    <t>Veneto</t>
  </si>
  <si>
    <t>Milano</t>
  </si>
  <si>
    <t>Lombardia</t>
  </si>
  <si>
    <t>Roma</t>
  </si>
  <si>
    <t>Lazio</t>
  </si>
  <si>
    <t>Capital_Weight_Perc</t>
  </si>
  <si>
    <t>Regional_Arrivals</t>
  </si>
  <si>
    <t>Capital_City_Arrivals</t>
  </si>
  <si>
    <t>Capital_City</t>
  </si>
  <si>
    <t>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</si>
</sst>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horizontal="right" vertical="bottom" textRotation="0" wrapText="0" indent="0" justifyLastLine="0" shrinkToFit="0" readingOrder="0"/>
    </dxf>
    <dxf>
      <numFmt numFmtId="2" formatCode="0.0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[Queries_Pivot_Charts.xlsx]Query_1_charts!PivotTable7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en-US" sz="1000"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rPr>
              <a:t>Average</a:t>
            </a:r>
            <a:r>
              <a:rPr lang="en-US" sz="1000" baseline="0"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rPr>
              <a:t> number of nights per stay</a:t>
            </a:r>
            <a:endParaRPr lang="en-US" sz="100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endParaRPr>
          </a:p>
        </c:rich>
      </c:tx>
      <c:layout>
        <c:manualLayout>
          <c:xMode val="edge"/>
          <c:yMode val="edge"/>
          <c:x val="3.157021109131615E-2"/>
          <c:y val="5.95180372818678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2385813198244103E-2"/>
              <c:y val="4.49671810392871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2466007735421141E-2"/>
              <c:y val="-4.504384681545323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23858131982442E-2"/>
              <c:y val="3.147702672750109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3.9811127548102621E-2"/>
              <c:y val="-3.5973744831429726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Query_1_charts!$B$3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82B4-4E4A-862C-8D2D62E52AC9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E-82B4-4E4A-862C-8D2D62E52AC9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82B4-4E4A-862C-8D2D62E52AC9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0-82B4-4E4A-862C-8D2D62E52AC9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2301-7249-8505-29264994EDF9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2301-7249-8505-29264994EDF9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2301-7249-8505-29264994EDF9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2301-7249-8505-29264994EDF9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2301-7249-8505-29264994EDF9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2301-7249-8505-29264994EDF9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2301-7249-8505-29264994EDF9}"/>
              </c:ext>
            </c:extLst>
          </c:dPt>
          <c:dLbls>
            <c:dLbl>
              <c:idx val="0"/>
              <c:layout>
                <c:manualLayout>
                  <c:x val="-4.2466007735421141E-2"/>
                  <c:y val="-4.50438468154532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2B4-4E4A-862C-8D2D62E52A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2B4-4E4A-862C-8D2D62E52AC9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2B4-4E4A-862C-8D2D62E52A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2B4-4E4A-862C-8D2D62E52AC9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301-7249-8505-29264994EDF9}"/>
                </c:ext>
              </c:extLst>
            </c:dLbl>
            <c:dLbl>
              <c:idx val="5"/>
              <c:layout>
                <c:manualLayout>
                  <c:x val="-4.23858131982442E-2"/>
                  <c:y val="3.147702672750109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01-7249-8505-29264994EDF9}"/>
                </c:ext>
              </c:extLst>
            </c:dLbl>
            <c:dLbl>
              <c:idx val="6"/>
              <c:layout>
                <c:manualLayout>
                  <c:x val="-3.9811127548102621E-2"/>
                  <c:y val="-3.597374483142972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301-7249-8505-29264994EDF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01-7249-8505-29264994EDF9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01-7249-8505-29264994EDF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01-7249-8505-29264994EDF9}"/>
                </c:ext>
              </c:extLst>
            </c:dLbl>
            <c:dLbl>
              <c:idx val="10"/>
              <c:layout>
                <c:manualLayout>
                  <c:x val="-4.2385813198244103E-2"/>
                  <c:y val="4.496718103928715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301-7249-8505-29264994ED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Query_1_charts!$A$4:$A$14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Query_1_charts!$B$4:$B$14</c:f>
              <c:numCache>
                <c:formatCode>0.00</c:formatCode>
                <c:ptCount val="11"/>
                <c:pt idx="0">
                  <c:v>3.5754630255516853</c:v>
                </c:pt>
                <c:pt idx="1">
                  <c:v>3.4931780835727055</c:v>
                </c:pt>
                <c:pt idx="2">
                  <c:v>3.4774275080587298</c:v>
                </c:pt>
                <c:pt idx="3">
                  <c:v>3.4331689244578967</c:v>
                </c:pt>
                <c:pt idx="4">
                  <c:v>3.3710599604164209</c:v>
                </c:pt>
                <c:pt idx="5">
                  <c:v>3.3510158455337824</c:v>
                </c:pt>
                <c:pt idx="6">
                  <c:v>3.7732525546551234</c:v>
                </c:pt>
                <c:pt idx="7">
                  <c:v>3.6954755848416658</c:v>
                </c:pt>
                <c:pt idx="8">
                  <c:v>3.4935962156201015</c:v>
                </c:pt>
                <c:pt idx="9">
                  <c:v>3.3597883025090991</c:v>
                </c:pt>
                <c:pt idx="10">
                  <c:v>3.3497154274985177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B4-4E4A-862C-8D2D62E52A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6725504"/>
        <c:axId val="1408816832"/>
      </c:lineChart>
      <c:catAx>
        <c:axId val="1406725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254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defRPr>
            </a:pPr>
            <a:endParaRPr lang="en-IT"/>
          </a:p>
        </c:txPr>
        <c:crossAx val="1408816832"/>
        <c:crosses val="autoZero"/>
        <c:auto val="1"/>
        <c:lblAlgn val="ctr"/>
        <c:lblOffset val="100"/>
        <c:noMultiLvlLbl val="0"/>
      </c:catAx>
      <c:valAx>
        <c:axId val="1408816832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1406725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 anchor="ctr" anchorCtr="0"/>
    <a:lstStyle/>
    <a:p>
      <a:pPr>
        <a:defRPr>
          <a:solidFill>
            <a:schemeClr val="tx1"/>
          </a:solidFill>
          <a:effectLst/>
        </a:defRPr>
      </a:pPr>
      <a:endParaRPr lang="en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[Queries_Pivot_Charts.xlsx]Query_1_charts!PivotTable8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defRPr>
            </a:pPr>
            <a:r>
              <a:rPr lang="en-US" sz="1000"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rPr>
              <a:t>Number of arrivals</a:t>
            </a:r>
          </a:p>
        </c:rich>
      </c:tx>
      <c:layout>
        <c:manualLayout>
          <c:xMode val="edge"/>
          <c:yMode val="edge"/>
          <c:x val="2.1653542103713414E-2"/>
          <c:y val="2.72613017235797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defRPr>
          </a:pPr>
          <a:endParaRPr lang="en-IT"/>
        </a:p>
      </c:txPr>
    </c:title>
    <c:autoTitleDeleted val="0"/>
    <c:pivotFmts>
      <c:pivotFmt>
        <c:idx val="0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7.4816192505450701E-3"/>
              <c:y val="-4.4082849376540098E-2"/>
            </c:manualLayout>
          </c:layout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846641343637414E-2"/>
              <c:y val="-4.4082849376540077E-2"/>
            </c:manualLayout>
          </c:layout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4.1123590982041061E-2"/>
              <c:y val="4.8491134314194009E-2"/>
            </c:manualLayout>
          </c:layout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6">
                <a:lumMod val="75000"/>
              </a:schemeClr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>
                <a:lumMod val="50000"/>
              </a:schemeClr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>
            <c:manualLayout>
              <c:x val="-5.2175932223585228E-2"/>
              <c:y val="4.8491134314194009E-2"/>
            </c:manualLayout>
          </c:layout>
          <c:numFmt formatCode="#,##0,,\ &quot;M&quot;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Query_1_charts!$B$18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C-1655-1242-BE66-7AC0A0753707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1655-1242-BE66-7AC0A0753707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55-1242-BE66-7AC0A0753707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1655-1242-BE66-7AC0A0753707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55-1242-BE66-7AC0A0753707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1655-1242-BE66-7AC0A0753707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1655-1242-BE66-7AC0A0753707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6-1655-1242-BE66-7AC0A0753707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55-1242-BE66-7AC0A0753707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8-1655-1242-BE66-7AC0A0753707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6">
                    <a:lumMod val="50000"/>
                  </a:schemeClr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6">
                    <a:lumMod val="75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1655-1242-BE66-7AC0A0753707}"/>
              </c:ext>
            </c:extLst>
          </c:dPt>
          <c:dLbls>
            <c:dLbl>
              <c:idx val="0"/>
              <c:layout>
                <c:manualLayout>
                  <c:x val="-5.2175932223585228E-2"/>
                  <c:y val="4.84911343141940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655-1242-BE66-7AC0A0753707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655-1242-BE66-7AC0A0753707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655-1242-BE66-7AC0A0753707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655-1242-BE66-7AC0A0753707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655-1242-BE66-7AC0A0753707}"/>
                </c:ext>
              </c:extLst>
            </c:dLbl>
            <c:dLbl>
              <c:idx val="5"/>
              <c:layout>
                <c:manualLayout>
                  <c:x val="-4.1846641343637414E-2"/>
                  <c:y val="-4.408284937654007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655-1242-BE66-7AC0A0753707}"/>
                </c:ext>
              </c:extLst>
            </c:dLbl>
            <c:dLbl>
              <c:idx val="6"/>
              <c:layout>
                <c:manualLayout>
                  <c:x val="-4.1123590982041061E-2"/>
                  <c:y val="4.84911343141940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655-1242-BE66-7AC0A0753707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655-1242-BE66-7AC0A0753707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655-1242-BE66-7AC0A0753707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655-1242-BE66-7AC0A0753707}"/>
                </c:ext>
              </c:extLst>
            </c:dLbl>
            <c:dLbl>
              <c:idx val="10"/>
              <c:layout>
                <c:manualLayout>
                  <c:x val="-7.4816192505450701E-3"/>
                  <c:y val="-4.408284937654009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655-1242-BE66-7AC0A0753707}"/>
                </c:ext>
              </c:extLst>
            </c:dLbl>
            <c:numFmt formatCode="#,##0,,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Query_1_charts!$A$19:$A$29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Query_1_charts!$B$19:$B$29</c:f>
              <c:numCache>
                <c:formatCode>General</c:formatCode>
                <c:ptCount val="11"/>
                <c:pt idx="0">
                  <c:v>103142472</c:v>
                </c:pt>
                <c:pt idx="1">
                  <c:v>109971957</c:v>
                </c:pt>
                <c:pt idx="2">
                  <c:v>113990981</c:v>
                </c:pt>
                <c:pt idx="3">
                  <c:v>121211015</c:v>
                </c:pt>
                <c:pt idx="4">
                  <c:v>125605115</c:v>
                </c:pt>
                <c:pt idx="5">
                  <c:v>128375669</c:v>
                </c:pt>
                <c:pt idx="6">
                  <c:v>54375735</c:v>
                </c:pt>
                <c:pt idx="7">
                  <c:v>77278651</c:v>
                </c:pt>
                <c:pt idx="8">
                  <c:v>116704351</c:v>
                </c:pt>
                <c:pt idx="9">
                  <c:v>132184467</c:v>
                </c:pt>
                <c:pt idx="10">
                  <c:v>138456983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55-1242-BE66-7AC0A075370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01257984"/>
        <c:axId val="1401265600"/>
      </c:lineChart>
      <c:catAx>
        <c:axId val="140125798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01265600"/>
        <c:crosses val="autoZero"/>
        <c:auto val="1"/>
        <c:lblAlgn val="ctr"/>
        <c:lblOffset val="100"/>
        <c:noMultiLvlLbl val="0"/>
      </c:catAx>
      <c:valAx>
        <c:axId val="14012656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0125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[Queries_Pivot_Charts.xlsx]Query_1_charts!PivotTable9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rPr>
              <a:t>YoY growth</a:t>
            </a:r>
          </a:p>
        </c:rich>
      </c:tx>
      <c:layout>
        <c:manualLayout>
          <c:xMode val="edge"/>
          <c:yMode val="edge"/>
          <c:x val="3.6820619694702843E-2"/>
          <c:y val="4.50704465274640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00B050"/>
          </a:solidFill>
          <a:ln>
            <a:noFill/>
          </a:ln>
          <a:effectLst/>
        </c:spPr>
      </c:pivotFmt>
      <c:pivotFmt>
        <c:idx val="13"/>
        <c:spPr>
          <a:solidFill>
            <a:srgbClr val="00B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00B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00B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00B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00B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00B050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Query_1_charts!$B$34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1"/>
          <c:dPt>
            <c:idx val="2"/>
            <c:invertIfNegative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1C8E-E54F-89B9-3DA52F57742B}"/>
              </c:ext>
            </c:extLst>
          </c:dPt>
          <c:dPt>
            <c:idx val="3"/>
            <c:invertIfNegative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1C8E-E54F-89B9-3DA52F57742B}"/>
              </c:ext>
            </c:extLst>
          </c:dPt>
          <c:dPt>
            <c:idx val="4"/>
            <c:invertIfNegative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1C8E-E54F-89B9-3DA52F57742B}"/>
              </c:ext>
            </c:extLst>
          </c:dPt>
          <c:dPt>
            <c:idx val="5"/>
            <c:invertIfNegative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1C8E-E54F-89B9-3DA52F57742B}"/>
              </c:ext>
            </c:extLst>
          </c:dPt>
          <c:dPt>
            <c:idx val="7"/>
            <c:invertIfNegative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1C8E-E54F-89B9-3DA52F57742B}"/>
              </c:ext>
            </c:extLst>
          </c:dPt>
          <c:dPt>
            <c:idx val="9"/>
            <c:invertIfNegative val="1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1C8E-E54F-89B9-3DA52F57742B}"/>
              </c:ext>
            </c:extLst>
          </c:dPt>
          <c:dLbls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C8E-E54F-89B9-3DA52F57742B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C8E-E54F-89B9-3DA52F57742B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C8E-E54F-89B9-3DA52F57742B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C8E-E54F-89B9-3DA52F57742B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C8E-E54F-89B9-3DA52F57742B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C8E-E54F-89B9-3DA52F57742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Query_1_charts!$A$35:$A$45</c:f>
              <c:strCache>
                <c:ptCount val="11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  <c:pt idx="10">
                  <c:v>2024</c:v>
                </c:pt>
              </c:strCache>
            </c:strRef>
          </c:cat>
          <c:val>
            <c:numRef>
              <c:f>Query_1_charts!$B$35:$B$45</c:f>
              <c:numCache>
                <c:formatCode>0.00%</c:formatCode>
                <c:ptCount val="11"/>
                <c:pt idx="1">
                  <c:v>6.6214090738488413E-2</c:v>
                </c:pt>
                <c:pt idx="2">
                  <c:v>3.6545898696701377E-2</c:v>
                </c:pt>
                <c:pt idx="3">
                  <c:v>6.3338642554536834E-2</c:v>
                </c:pt>
                <c:pt idx="4">
                  <c:v>3.6251655841674127E-2</c:v>
                </c:pt>
                <c:pt idx="5">
                  <c:v>2.2057652668046202E-2</c:v>
                </c:pt>
                <c:pt idx="6">
                  <c:v>-0.57643270392616219</c:v>
                </c:pt>
                <c:pt idx="7">
                  <c:v>0.42119735944718723</c:v>
                </c:pt>
                <c:pt idx="8">
                  <c:v>0.51017583109725873</c:v>
                </c:pt>
                <c:pt idx="9">
                  <c:v>0.13264386346658147</c:v>
                </c:pt>
                <c:pt idx="10">
                  <c:v>4.7452746471338424E-2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  <a:ln>
                    <a:noFill/>
                  </a:ln>
                  <a:effectLst/>
                </c14:spPr>
              </c14:invertSolidFillFmt>
            </c:ext>
            <c:ext xmlns:c16="http://schemas.microsoft.com/office/drawing/2014/chart" uri="{C3380CC4-5D6E-409C-BE32-E72D297353CC}">
              <c16:uniqueId val="{00000000-1C8E-E54F-89B9-3DA52F57742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420127168"/>
        <c:axId val="1430242624"/>
      </c:barChart>
      <c:catAx>
        <c:axId val="1420127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30242624"/>
        <c:crosses val="autoZero"/>
        <c:auto val="1"/>
        <c:lblAlgn val="ctr"/>
        <c:lblOffset val="100"/>
        <c:noMultiLvlLbl val="0"/>
      </c:catAx>
      <c:valAx>
        <c:axId val="1430242624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42012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rPr>
              <a:t>Capital city weight percentage on</a:t>
            </a:r>
            <a:r>
              <a:rPr lang="en-US" sz="1200" baseline="0">
                <a:latin typeface="Segoe UI Historic" panose="020B0502040204020203" pitchFamily="34" charset="0"/>
                <a:ea typeface="Segoe UI Historic" panose="020B0502040204020203" pitchFamily="34" charset="0"/>
                <a:cs typeface="Segoe UI Historic" panose="020B0502040204020203" pitchFamily="34" charset="0"/>
              </a:rPr>
              <a:t> regional tourism</a:t>
            </a:r>
            <a:endParaRPr lang="en-US" sz="1200">
              <a:latin typeface="Segoe UI Historic" panose="020B0502040204020203" pitchFamily="34" charset="0"/>
              <a:ea typeface="Segoe UI Historic" panose="020B0502040204020203" pitchFamily="34" charset="0"/>
              <a:cs typeface="Segoe UI Historic" panose="020B05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Query_6!$E$1</c:f>
              <c:strCache>
                <c:ptCount val="1"/>
                <c:pt idx="0">
                  <c:v>Capital_Weight_Perc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I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Query_6!$B$2:$B$23</c:f>
              <c:strCache>
                <c:ptCount val="21"/>
                <c:pt idx="0">
                  <c:v>Roma</c:v>
                </c:pt>
                <c:pt idx="1">
                  <c:v>Milano</c:v>
                </c:pt>
                <c:pt idx="2">
                  <c:v>Venezia</c:v>
                </c:pt>
                <c:pt idx="3">
                  <c:v>Torino</c:v>
                </c:pt>
                <c:pt idx="4">
                  <c:v>Firenze</c:v>
                </c:pt>
                <c:pt idx="5">
                  <c:v>Napoli</c:v>
                </c:pt>
                <c:pt idx="6">
                  <c:v>Genova</c:v>
                </c:pt>
                <c:pt idx="7">
                  <c:v>Trieste</c:v>
                </c:pt>
                <c:pt idx="8">
                  <c:v>Campobasso</c:v>
                </c:pt>
                <c:pt idx="9">
                  <c:v>Perugia</c:v>
                </c:pt>
                <c:pt idx="10">
                  <c:v>Bologna</c:v>
                </c:pt>
                <c:pt idx="11">
                  <c:v>Palermo</c:v>
                </c:pt>
                <c:pt idx="12">
                  <c:v>Bari</c:v>
                </c:pt>
                <c:pt idx="13">
                  <c:v>Trento</c:v>
                </c:pt>
                <c:pt idx="14">
                  <c:v>Aosta</c:v>
                </c:pt>
                <c:pt idx="15">
                  <c:v>Cagliari</c:v>
                </c:pt>
                <c:pt idx="16">
                  <c:v>Ancona</c:v>
                </c:pt>
                <c:pt idx="17">
                  <c:v>L'Aquila</c:v>
                </c:pt>
                <c:pt idx="18">
                  <c:v>Bolzano/Bozen</c:v>
                </c:pt>
                <c:pt idx="19">
                  <c:v>Potenza</c:v>
                </c:pt>
                <c:pt idx="20">
                  <c:v>Catanzaro</c:v>
                </c:pt>
              </c:strCache>
            </c:strRef>
          </c:cat>
          <c:val>
            <c:numRef>
              <c:f>Query_6!$E$2:$E$23</c:f>
              <c:numCache>
                <c:formatCode>General</c:formatCode>
                <c:ptCount val="22"/>
                <c:pt idx="0">
                  <c:v>0.79500000000000004</c:v>
                </c:pt>
                <c:pt idx="1">
                  <c:v>0.3503</c:v>
                </c:pt>
                <c:pt idx="2">
                  <c:v>0.27060000000000001</c:v>
                </c:pt>
                <c:pt idx="3">
                  <c:v>0.26640000000000003</c:v>
                </c:pt>
                <c:pt idx="4">
                  <c:v>0.26500000000000001</c:v>
                </c:pt>
                <c:pt idx="5">
                  <c:v>0.24</c:v>
                </c:pt>
                <c:pt idx="6">
                  <c:v>0.19550000000000001</c:v>
                </c:pt>
                <c:pt idx="7">
                  <c:v>0.19539999999999999</c:v>
                </c:pt>
                <c:pt idx="8">
                  <c:v>0.16670000000000001</c:v>
                </c:pt>
                <c:pt idx="9">
                  <c:v>0.1648</c:v>
                </c:pt>
                <c:pt idx="10">
                  <c:v>0.15640000000000001</c:v>
                </c:pt>
                <c:pt idx="11">
                  <c:v>0.1492</c:v>
                </c:pt>
                <c:pt idx="12">
                  <c:v>0.13170000000000001</c:v>
                </c:pt>
                <c:pt idx="13">
                  <c:v>9.4600000000000004E-2</c:v>
                </c:pt>
                <c:pt idx="14">
                  <c:v>8.8499999999999995E-2</c:v>
                </c:pt>
                <c:pt idx="15">
                  <c:v>8.3699999999999997E-2</c:v>
                </c:pt>
                <c:pt idx="16">
                  <c:v>7.9399999999999998E-2</c:v>
                </c:pt>
                <c:pt idx="17">
                  <c:v>5.2900000000000003E-2</c:v>
                </c:pt>
                <c:pt idx="18">
                  <c:v>4.9200000000000001E-2</c:v>
                </c:pt>
                <c:pt idx="19">
                  <c:v>3.7599999999999995E-2</c:v>
                </c:pt>
                <c:pt idx="20">
                  <c:v>3.2300000000000002E-2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3F-6F48-A581-23DC292F32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038935808"/>
        <c:axId val="2038929088"/>
      </c:barChart>
      <c:catAx>
        <c:axId val="203893580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38929088"/>
        <c:crosses val="autoZero"/>
        <c:auto val="1"/>
        <c:lblAlgn val="ctr"/>
        <c:lblOffset val="100"/>
        <c:noMultiLvlLbl val="0"/>
      </c:catAx>
      <c:valAx>
        <c:axId val="2038929088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2038935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19844</xdr:colOff>
      <xdr:row>0</xdr:row>
      <xdr:rowOff>146299</xdr:rowOff>
    </xdr:from>
    <xdr:to>
      <xdr:col>13</xdr:col>
      <xdr:colOff>39688</xdr:colOff>
      <xdr:row>39</xdr:row>
      <xdr:rowOff>48212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88BD8E30-3912-523F-7015-CD40C7D1F288}"/>
            </a:ext>
          </a:extLst>
        </xdr:cNvPr>
        <xdr:cNvGrpSpPr/>
      </xdr:nvGrpSpPr>
      <xdr:grpSpPr>
        <a:xfrm>
          <a:off x="3639344" y="146299"/>
          <a:ext cx="4960144" cy="7826713"/>
          <a:chOff x="3636804" y="146299"/>
          <a:chExt cx="4957604" cy="7826713"/>
        </a:xfrm>
      </xdr:grpSpPr>
      <xdr:graphicFrame macro="">
        <xdr:nvGraphicFramePr>
          <xdr:cNvPr id="2" name="Chart 1">
            <a:extLst>
              <a:ext uri="{FF2B5EF4-FFF2-40B4-BE49-F238E27FC236}">
                <a16:creationId xmlns:a16="http://schemas.microsoft.com/office/drawing/2014/main" id="{259EBDFB-6B86-F9CD-F40C-717C7DD3B916}"/>
              </a:ext>
            </a:extLst>
          </xdr:cNvPr>
          <xdr:cNvGraphicFramePr/>
        </xdr:nvGraphicFramePr>
        <xdr:xfrm>
          <a:off x="3642360" y="5132388"/>
          <a:ext cx="4915622" cy="28406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142431DB-C999-F6A0-E862-AABEFF7DA574}"/>
              </a:ext>
            </a:extLst>
          </xdr:cNvPr>
          <xdr:cNvGraphicFramePr/>
        </xdr:nvGraphicFramePr>
        <xdr:xfrm>
          <a:off x="3643928" y="146299"/>
          <a:ext cx="4923975" cy="286184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1AFB42FE-3758-AC04-CF58-67554AC6FACA}"/>
              </a:ext>
            </a:extLst>
          </xdr:cNvPr>
          <xdr:cNvGraphicFramePr/>
        </xdr:nvGraphicFramePr>
        <xdr:xfrm>
          <a:off x="3636804" y="2423716"/>
          <a:ext cx="4957604" cy="288924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10499</xdr:rowOff>
    </xdr:from>
    <xdr:to>
      <xdr:col>4</xdr:col>
      <xdr:colOff>1593273</xdr:colOff>
      <xdr:row>43</xdr:row>
      <xdr:rowOff>196273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515CC05-6162-5D18-4948-29900A1595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2.526265972221" createdVersion="8" refreshedVersion="8" minRefreshableVersion="3" recordCount="11" xr:uid="{1A53DD2C-4A4B-8248-9E57-56D39BE1183E}">
  <cacheSource type="worksheet">
    <worksheetSource name="Table1"/>
  </cacheSource>
  <cacheFields count="5">
    <cacheField name="Year" numFmtId="0">
      <sharedItems containsSemiMixedTypes="0" containsString="0" containsNumber="1" containsInteger="1" minValue="2014" maxValue="2024" count="11"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National_Arrivals" numFmtId="0">
      <sharedItems containsSemiMixedTypes="0" containsString="0" containsNumber="1" containsInteger="1" minValue="54375735" maxValue="138456983"/>
    </cacheField>
    <cacheField name="National_Nights_Spent" numFmtId="0">
      <sharedItems containsSemiMixedTypes="0" containsString="0" containsNumber="1" containsInteger="1" minValue="205173381" maxValue="463791492"/>
    </cacheField>
    <cacheField name="Arrivals_YoY_Perc" numFmtId="0">
      <sharedItems containsBlank="1"/>
    </cacheField>
    <cacheField name="Avg_Length_of_Stay" numFmtId="2">
      <sharedItems containsSemiMixedTypes="0" containsString="0" containsNumber="1" minValue="3.3497154274985177" maxValue="3.773252554655123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x v="0"/>
    <n v="103142472"/>
    <n v="368782095"/>
    <m/>
    <n v="3.5754630255516853"/>
  </r>
  <r>
    <x v="1"/>
    <n v="109971957"/>
    <n v="384151630"/>
    <s v="6.62"/>
    <n v="3.4931780835727055"/>
  </r>
  <r>
    <x v="2"/>
    <n v="113990981"/>
    <n v="396395373"/>
    <s v="3.65"/>
    <n v="3.4774275080587298"/>
  </r>
  <r>
    <x v="3"/>
    <n v="121211015"/>
    <n v="416137890"/>
    <s v="6.33"/>
    <n v="3.4331689244578967"/>
  </r>
  <r>
    <x v="4"/>
    <n v="125605115"/>
    <n v="423422374"/>
    <s v="3.63"/>
    <n v="3.3710599604164209"/>
  </r>
  <r>
    <x v="5"/>
    <n v="128375669"/>
    <n v="430188901"/>
    <s v="2.21"/>
    <n v="3.3510158455337824"/>
  </r>
  <r>
    <x v="6"/>
    <n v="54375735"/>
    <n v="205173381"/>
    <s v="-57.64"/>
    <n v="3.7732525546551234"/>
  </r>
  <r>
    <x v="7"/>
    <n v="77278651"/>
    <n v="285581368"/>
    <s v="42.12"/>
    <n v="3.6954755848416658"/>
  </r>
  <r>
    <x v="8"/>
    <n v="116704351"/>
    <n v="407717879"/>
    <s v="51.02"/>
    <n v="3.4935962156201015"/>
  </r>
  <r>
    <x v="9"/>
    <n v="132184467"/>
    <n v="444111826"/>
    <s v="13.26"/>
    <n v="3.3597883025090991"/>
  </r>
  <r>
    <x v="10"/>
    <n v="138456983"/>
    <n v="463791492"/>
    <s v="4.75"/>
    <n v="3.34971542749851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D8C742-CFED-3445-8244-3A161F09A111}" name="PivotTable8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A18:B29" firstHeaderRow="1" firstDataRow="1" firstDataCol="1"/>
  <pivotFields count="5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numFmtId="2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National_Arrivals" fld="1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37F495-24B5-F64A-9A62-0AF15F900000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7">
  <location ref="A3:B14" firstHeaderRow="1" firstDataRow="1" firstDataCol="1"/>
  <pivotFields count="5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showAll="0"/>
    <pivotField showAll="0"/>
    <pivotField showAll="0"/>
    <pivotField dataField="1" numFmtId="2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Average of Avg_Length_of_Stay" fld="4" subtotal="average" baseField="0" baseItem="0" numFmtId="2"/>
  </dataFields>
  <chartFormats count="3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0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0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2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3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3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3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4" format="4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9FDBD-A4C0-9343-BF0D-28E657BA0D24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34:B45" firstHeaderRow="1" firstDataRow="1" firstDataCol="1"/>
  <pivotFields count="5"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dataField="1" showAll="0"/>
    <pivotField showAll="0"/>
    <pivotField showAll="0"/>
    <pivotField numFmtId="2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</rowItems>
  <colItems count="1">
    <i/>
  </colItems>
  <dataFields count="1">
    <dataField name="Sum of National_Arrivals" fld="1" showDataAs="percentDiff" baseField="0" baseItem="1048828" numFmtId="10"/>
  </dataFields>
  <chartFormats count="19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DA0F4A-5D3C-7148-8CD9-114658D63797}" name="Table1" displayName="Table1" ref="A1:E12" totalsRowShown="0">
  <autoFilter ref="A1:E12" xr:uid="{EADA0F4A-5D3C-7148-8CD9-114658D63797}"/>
  <tableColumns count="5">
    <tableColumn id="1" xr3:uid="{572C4C11-8099-5448-94F2-ADD79B16AF68}" name="Year"/>
    <tableColumn id="2" xr3:uid="{BA5EE31C-9051-8143-A795-1EE93034B626}" name="National_Arrivals"/>
    <tableColumn id="3" xr3:uid="{69790C1A-0D73-F244-9F64-FB48EC920A1F}" name="National_Nights_Spent"/>
    <tableColumn id="4" xr3:uid="{B7D74EBD-E4D1-DE4B-9BFA-B9AAB84FCB30}" name="Arrivals_YoY_Perc" dataDxfId="2"/>
    <tableColumn id="6" xr3:uid="{5A5F61A9-D310-524A-87F3-AB45A4361979}" name="Avg_Length_of_Stay" dataDxfId="1">
      <calculatedColumnFormula>Table1[[#This Row],[National_Nights_Spent]]/Table1[[#This Row],[National_Arrivals]]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A11F2F-B480-8D46-AB27-CAD611C49CCE}" name="Table2" displayName="Table2" ref="A1:E22" totalsRowShown="0">
  <autoFilter ref="A1:E22" xr:uid="{B9A11F2F-B480-8D46-AB27-CAD611C49CCE}"/>
  <tableColumns count="5">
    <tableColumn id="1" xr3:uid="{AF603711-DE4A-3947-8252-83FCE1B4D234}" name="Region"/>
    <tableColumn id="2" xr3:uid="{02CE7CFE-D40A-1A46-BDC4-A5824976253E}" name="Capital_City"/>
    <tableColumn id="3" xr3:uid="{AFC42EDE-ACAB-EF43-9F72-0B885AF65C70}" name="Capital_City_Arrivals"/>
    <tableColumn id="4" xr3:uid="{070DE58B-3370-7A48-8156-3ACB2F57F809}" name="Regional_Arrivals"/>
    <tableColumn id="5" xr3:uid="{35297E87-1E55-0746-87AD-3EACCF11B5CA}" name="Capital_Weight_Perc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3EB04-922A-1943-AE4F-8D50D8242417}">
  <dimension ref="A1:E12"/>
  <sheetViews>
    <sheetView zoomScale="130" zoomScaleNormal="130" workbookViewId="0">
      <selection activeCell="H15" sqref="H15"/>
    </sheetView>
  </sheetViews>
  <sheetFormatPr baseColWidth="10" defaultRowHeight="16" x14ac:dyDescent="0.2"/>
  <cols>
    <col min="1" max="1" width="7.33203125" bestFit="1" customWidth="1"/>
    <col min="2" max="2" width="18.1640625" bestFit="1" customWidth="1"/>
    <col min="3" max="3" width="23.33203125" bestFit="1" customWidth="1"/>
    <col min="4" max="4" width="18.83203125" style="5" bestFit="1" customWidth="1"/>
    <col min="5" max="5" width="22.1640625" bestFit="1" customWidth="1"/>
    <col min="7" max="7" width="23.1640625" bestFit="1" customWidth="1"/>
    <col min="8" max="8" width="15.5" bestFit="1" customWidth="1"/>
    <col min="9" max="9" width="13" bestFit="1" customWidth="1"/>
    <col min="10" max="10" width="18.83203125" bestFit="1" customWidth="1"/>
    <col min="11" max="20" width="5.1640625" bestFit="1" customWidth="1"/>
    <col min="21" max="21" width="11.33203125" bestFit="1" customWidth="1"/>
    <col min="22" max="22" width="10.5" bestFit="1" customWidth="1"/>
    <col min="23" max="23" width="6.83203125" bestFit="1" customWidth="1"/>
    <col min="24" max="24" width="9.5" bestFit="1" customWidth="1"/>
    <col min="25" max="25" width="6.83203125" bestFit="1" customWidth="1"/>
    <col min="26" max="27" width="9.5" bestFit="1" customWidth="1"/>
    <col min="28" max="28" width="12.1640625" bestFit="1" customWidth="1"/>
    <col min="29" max="29" width="11.33203125" bestFit="1" customWidth="1"/>
  </cols>
  <sheetData>
    <row r="1" spans="1:5" x14ac:dyDescent="0.2">
      <c r="A1" t="s">
        <v>0</v>
      </c>
      <c r="B1" t="s">
        <v>1</v>
      </c>
      <c r="C1" t="s">
        <v>2</v>
      </c>
      <c r="D1" s="5" t="s">
        <v>3</v>
      </c>
      <c r="E1" t="s">
        <v>4</v>
      </c>
    </row>
    <row r="2" spans="1:5" x14ac:dyDescent="0.2">
      <c r="A2">
        <v>2014</v>
      </c>
      <c r="B2">
        <v>103142472</v>
      </c>
      <c r="C2">
        <v>368782095</v>
      </c>
      <c r="E2" s="4">
        <f>Table1[[#This Row],[National_Nights_Spent]]/Table1[[#This Row],[National_Arrivals]]</f>
        <v>3.5754630255516853</v>
      </c>
    </row>
    <row r="3" spans="1:5" x14ac:dyDescent="0.2">
      <c r="A3">
        <v>2015</v>
      </c>
      <c r="B3">
        <v>109971957</v>
      </c>
      <c r="C3">
        <v>384151630</v>
      </c>
      <c r="D3" s="5" t="s">
        <v>5</v>
      </c>
      <c r="E3" s="4">
        <f>Table1[[#This Row],[National_Nights_Spent]]/Table1[[#This Row],[National_Arrivals]]</f>
        <v>3.4931780835727055</v>
      </c>
    </row>
    <row r="4" spans="1:5" x14ac:dyDescent="0.2">
      <c r="A4">
        <v>2016</v>
      </c>
      <c r="B4">
        <v>113990981</v>
      </c>
      <c r="C4">
        <v>396395373</v>
      </c>
      <c r="D4" s="5" t="s">
        <v>6</v>
      </c>
      <c r="E4" s="4">
        <f>Table1[[#This Row],[National_Nights_Spent]]/Table1[[#This Row],[National_Arrivals]]</f>
        <v>3.4774275080587298</v>
      </c>
    </row>
    <row r="5" spans="1:5" x14ac:dyDescent="0.2">
      <c r="A5">
        <v>2017</v>
      </c>
      <c r="B5">
        <v>121211015</v>
      </c>
      <c r="C5">
        <v>416137890</v>
      </c>
      <c r="D5" s="5" t="s">
        <v>7</v>
      </c>
      <c r="E5" s="4">
        <f>Table1[[#This Row],[National_Nights_Spent]]/Table1[[#This Row],[National_Arrivals]]</f>
        <v>3.4331689244578967</v>
      </c>
    </row>
    <row r="6" spans="1:5" x14ac:dyDescent="0.2">
      <c r="A6">
        <v>2018</v>
      </c>
      <c r="B6">
        <v>125605115</v>
      </c>
      <c r="C6">
        <v>423422374</v>
      </c>
      <c r="D6" s="5" t="s">
        <v>8</v>
      </c>
      <c r="E6" s="4">
        <f>Table1[[#This Row],[National_Nights_Spent]]/Table1[[#This Row],[National_Arrivals]]</f>
        <v>3.3710599604164209</v>
      </c>
    </row>
    <row r="7" spans="1:5" x14ac:dyDescent="0.2">
      <c r="A7">
        <v>2019</v>
      </c>
      <c r="B7">
        <v>128375669</v>
      </c>
      <c r="C7">
        <v>430188901</v>
      </c>
      <c r="D7" s="5" t="s">
        <v>9</v>
      </c>
      <c r="E7" s="4">
        <f>Table1[[#This Row],[National_Nights_Spent]]/Table1[[#This Row],[National_Arrivals]]</f>
        <v>3.3510158455337824</v>
      </c>
    </row>
    <row r="8" spans="1:5" x14ac:dyDescent="0.2">
      <c r="A8">
        <v>2020</v>
      </c>
      <c r="B8">
        <v>54375735</v>
      </c>
      <c r="C8">
        <v>205173381</v>
      </c>
      <c r="D8" s="5" t="s">
        <v>10</v>
      </c>
      <c r="E8" s="4">
        <f>Table1[[#This Row],[National_Nights_Spent]]/Table1[[#This Row],[National_Arrivals]]</f>
        <v>3.7732525546551234</v>
      </c>
    </row>
    <row r="9" spans="1:5" x14ac:dyDescent="0.2">
      <c r="A9">
        <v>2021</v>
      </c>
      <c r="B9">
        <v>77278651</v>
      </c>
      <c r="C9">
        <v>285581368</v>
      </c>
      <c r="D9" s="5" t="s">
        <v>11</v>
      </c>
      <c r="E9" s="4">
        <f>Table1[[#This Row],[National_Nights_Spent]]/Table1[[#This Row],[National_Arrivals]]</f>
        <v>3.6954755848416658</v>
      </c>
    </row>
    <row r="10" spans="1:5" x14ac:dyDescent="0.2">
      <c r="A10">
        <v>2022</v>
      </c>
      <c r="B10">
        <v>116704351</v>
      </c>
      <c r="C10">
        <v>407717879</v>
      </c>
      <c r="D10" s="5" t="s">
        <v>12</v>
      </c>
      <c r="E10" s="4">
        <f>Table1[[#This Row],[National_Nights_Spent]]/Table1[[#This Row],[National_Arrivals]]</f>
        <v>3.4935962156201015</v>
      </c>
    </row>
    <row r="11" spans="1:5" x14ac:dyDescent="0.2">
      <c r="A11">
        <v>2023</v>
      </c>
      <c r="B11">
        <v>132184467</v>
      </c>
      <c r="C11">
        <v>444111826</v>
      </c>
      <c r="D11" s="5" t="s">
        <v>13</v>
      </c>
      <c r="E11" s="4">
        <f>Table1[[#This Row],[National_Nights_Spent]]/Table1[[#This Row],[National_Arrivals]]</f>
        <v>3.3597883025090991</v>
      </c>
    </row>
    <row r="12" spans="1:5" x14ac:dyDescent="0.2">
      <c r="A12">
        <v>2024</v>
      </c>
      <c r="B12">
        <v>138456983</v>
      </c>
      <c r="C12">
        <v>463791492</v>
      </c>
      <c r="D12" s="5" t="s">
        <v>14</v>
      </c>
      <c r="E12" s="4">
        <f>Table1[[#This Row],[National_Nights_Spent]]/Table1[[#This Row],[National_Arrivals]]</f>
        <v>3.3497154274985177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0A177-AC14-4546-B571-5129E86D4ED9}">
  <dimension ref="A3:B45"/>
  <sheetViews>
    <sheetView showGridLines="0" zoomScaleNormal="100" workbookViewId="0">
      <selection activeCell="O33" sqref="O33"/>
    </sheetView>
  </sheetViews>
  <sheetFormatPr baseColWidth="10" defaultRowHeight="16" x14ac:dyDescent="0.2"/>
  <cols>
    <col min="1" max="1" width="13" bestFit="1" customWidth="1"/>
    <col min="2" max="2" width="22.1640625" bestFit="1" customWidth="1"/>
    <col min="3" max="7" width="6.1640625" bestFit="1" customWidth="1"/>
    <col min="8" max="8" width="7.83203125" bestFit="1" customWidth="1"/>
    <col min="9" max="11" width="7.1640625" bestFit="1" customWidth="1"/>
    <col min="12" max="12" width="6.1640625" bestFit="1" customWidth="1"/>
    <col min="13" max="13" width="10.83203125" bestFit="1" customWidth="1"/>
  </cols>
  <sheetData>
    <row r="3" spans="1:2" x14ac:dyDescent="0.2">
      <c r="A3" s="1" t="s">
        <v>15</v>
      </c>
      <c r="B3" t="s">
        <v>17</v>
      </c>
    </row>
    <row r="4" spans="1:2" x14ac:dyDescent="0.2">
      <c r="A4" s="2">
        <v>2014</v>
      </c>
      <c r="B4" s="4">
        <v>3.5754630255516853</v>
      </c>
    </row>
    <row r="5" spans="1:2" x14ac:dyDescent="0.2">
      <c r="A5" s="2">
        <v>2015</v>
      </c>
      <c r="B5" s="4">
        <v>3.4931780835727055</v>
      </c>
    </row>
    <row r="6" spans="1:2" x14ac:dyDescent="0.2">
      <c r="A6" s="2">
        <v>2016</v>
      </c>
      <c r="B6" s="4">
        <v>3.4774275080587298</v>
      </c>
    </row>
    <row r="7" spans="1:2" x14ac:dyDescent="0.2">
      <c r="A7" s="2">
        <v>2017</v>
      </c>
      <c r="B7" s="4">
        <v>3.4331689244578967</v>
      </c>
    </row>
    <row r="8" spans="1:2" x14ac:dyDescent="0.2">
      <c r="A8" s="2">
        <v>2018</v>
      </c>
      <c r="B8" s="4">
        <v>3.3710599604164209</v>
      </c>
    </row>
    <row r="9" spans="1:2" x14ac:dyDescent="0.2">
      <c r="A9" s="2">
        <v>2019</v>
      </c>
      <c r="B9" s="4">
        <v>3.3510158455337824</v>
      </c>
    </row>
    <row r="10" spans="1:2" x14ac:dyDescent="0.2">
      <c r="A10" s="2">
        <v>2020</v>
      </c>
      <c r="B10" s="4">
        <v>3.7732525546551234</v>
      </c>
    </row>
    <row r="11" spans="1:2" x14ac:dyDescent="0.2">
      <c r="A11" s="2">
        <v>2021</v>
      </c>
      <c r="B11" s="4">
        <v>3.6954755848416658</v>
      </c>
    </row>
    <row r="12" spans="1:2" x14ac:dyDescent="0.2">
      <c r="A12" s="2">
        <v>2022</v>
      </c>
      <c r="B12" s="4">
        <v>3.4935962156201015</v>
      </c>
    </row>
    <row r="13" spans="1:2" x14ac:dyDescent="0.2">
      <c r="A13" s="2">
        <v>2023</v>
      </c>
      <c r="B13" s="4">
        <v>3.3597883025090991</v>
      </c>
    </row>
    <row r="14" spans="1:2" x14ac:dyDescent="0.2">
      <c r="A14" s="2">
        <v>2024</v>
      </c>
      <c r="B14" s="4">
        <v>3.3497154274985177</v>
      </c>
    </row>
    <row r="18" spans="1:2" x14ac:dyDescent="0.2">
      <c r="A18" s="1" t="s">
        <v>15</v>
      </c>
      <c r="B18" t="s">
        <v>16</v>
      </c>
    </row>
    <row r="19" spans="1:2" x14ac:dyDescent="0.2">
      <c r="A19" s="2">
        <v>2014</v>
      </c>
      <c r="B19">
        <v>103142472</v>
      </c>
    </row>
    <row r="20" spans="1:2" x14ac:dyDescent="0.2">
      <c r="A20" s="2">
        <v>2015</v>
      </c>
      <c r="B20">
        <v>109971957</v>
      </c>
    </row>
    <row r="21" spans="1:2" x14ac:dyDescent="0.2">
      <c r="A21" s="2">
        <v>2016</v>
      </c>
      <c r="B21">
        <v>113990981</v>
      </c>
    </row>
    <row r="22" spans="1:2" x14ac:dyDescent="0.2">
      <c r="A22" s="2">
        <v>2017</v>
      </c>
      <c r="B22">
        <v>121211015</v>
      </c>
    </row>
    <row r="23" spans="1:2" x14ac:dyDescent="0.2">
      <c r="A23" s="2">
        <v>2018</v>
      </c>
      <c r="B23">
        <v>125605115</v>
      </c>
    </row>
    <row r="24" spans="1:2" x14ac:dyDescent="0.2">
      <c r="A24" s="2">
        <v>2019</v>
      </c>
      <c r="B24">
        <v>128375669</v>
      </c>
    </row>
    <row r="25" spans="1:2" x14ac:dyDescent="0.2">
      <c r="A25" s="2">
        <v>2020</v>
      </c>
      <c r="B25">
        <v>54375735</v>
      </c>
    </row>
    <row r="26" spans="1:2" x14ac:dyDescent="0.2">
      <c r="A26" s="2">
        <v>2021</v>
      </c>
      <c r="B26">
        <v>77278651</v>
      </c>
    </row>
    <row r="27" spans="1:2" x14ac:dyDescent="0.2">
      <c r="A27" s="2">
        <v>2022</v>
      </c>
      <c r="B27">
        <v>116704351</v>
      </c>
    </row>
    <row r="28" spans="1:2" x14ac:dyDescent="0.2">
      <c r="A28" s="2">
        <v>2023</v>
      </c>
      <c r="B28">
        <v>132184467</v>
      </c>
    </row>
    <row r="29" spans="1:2" x14ac:dyDescent="0.2">
      <c r="A29" s="2">
        <v>2024</v>
      </c>
      <c r="B29">
        <v>138456983</v>
      </c>
    </row>
    <row r="34" spans="1:2" x14ac:dyDescent="0.2">
      <c r="A34" s="1" t="s">
        <v>15</v>
      </c>
      <c r="B34" t="s">
        <v>16</v>
      </c>
    </row>
    <row r="35" spans="1:2" x14ac:dyDescent="0.2">
      <c r="A35" s="2">
        <v>2014</v>
      </c>
      <c r="B35" s="3"/>
    </row>
    <row r="36" spans="1:2" x14ac:dyDescent="0.2">
      <c r="A36" s="2">
        <v>2015</v>
      </c>
      <c r="B36" s="3">
        <v>6.6214090738488413E-2</v>
      </c>
    </row>
    <row r="37" spans="1:2" x14ac:dyDescent="0.2">
      <c r="A37" s="2">
        <v>2016</v>
      </c>
      <c r="B37" s="3">
        <v>3.6545898696701377E-2</v>
      </c>
    </row>
    <row r="38" spans="1:2" x14ac:dyDescent="0.2">
      <c r="A38" s="2">
        <v>2017</v>
      </c>
      <c r="B38" s="3">
        <v>6.3338642554536834E-2</v>
      </c>
    </row>
    <row r="39" spans="1:2" x14ac:dyDescent="0.2">
      <c r="A39" s="2">
        <v>2018</v>
      </c>
      <c r="B39" s="3">
        <v>3.6251655841674127E-2</v>
      </c>
    </row>
    <row r="40" spans="1:2" x14ac:dyDescent="0.2">
      <c r="A40" s="2">
        <v>2019</v>
      </c>
      <c r="B40" s="3">
        <v>2.2057652668046202E-2</v>
      </c>
    </row>
    <row r="41" spans="1:2" x14ac:dyDescent="0.2">
      <c r="A41" s="2">
        <v>2020</v>
      </c>
      <c r="B41" s="3">
        <v>-0.57643270392616219</v>
      </c>
    </row>
    <row r="42" spans="1:2" x14ac:dyDescent="0.2">
      <c r="A42" s="2">
        <v>2021</v>
      </c>
      <c r="B42" s="3">
        <v>0.42119735944718723</v>
      </c>
    </row>
    <row r="43" spans="1:2" x14ac:dyDescent="0.2">
      <c r="A43" s="2">
        <v>2022</v>
      </c>
      <c r="B43" s="3">
        <v>0.51017583109725873</v>
      </c>
    </row>
    <row r="44" spans="1:2" x14ac:dyDescent="0.2">
      <c r="A44" s="2">
        <v>2023</v>
      </c>
      <c r="B44" s="3">
        <v>0.13264386346658147</v>
      </c>
    </row>
    <row r="45" spans="1:2" x14ac:dyDescent="0.2">
      <c r="A45" s="2">
        <v>2024</v>
      </c>
      <c r="B45" s="3">
        <v>4.7452746471338424E-2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9E013-7F3C-F740-9E45-CF43E02CAAA9}">
  <dimension ref="A1:E23"/>
  <sheetViews>
    <sheetView tabSelected="1" zoomScale="109" zoomScaleNormal="109" workbookViewId="0">
      <selection activeCell="H26" sqref="H26"/>
    </sheetView>
  </sheetViews>
  <sheetFormatPr baseColWidth="10" defaultRowHeight="16" x14ac:dyDescent="0.2"/>
  <cols>
    <col min="1" max="1" width="18" bestFit="1" customWidth="1"/>
    <col min="2" max="2" width="13.5" bestFit="1" customWidth="1"/>
    <col min="3" max="3" width="21" bestFit="1" customWidth="1"/>
    <col min="4" max="4" width="18.1640625" bestFit="1" customWidth="1"/>
    <col min="5" max="5" width="21" bestFit="1" customWidth="1"/>
    <col min="7" max="7" width="10.83203125" customWidth="1"/>
    <col min="8" max="8" width="11" customWidth="1"/>
  </cols>
  <sheetData>
    <row r="1" spans="1:5" x14ac:dyDescent="0.2">
      <c r="A1" t="s">
        <v>63</v>
      </c>
      <c r="B1" t="s">
        <v>62</v>
      </c>
      <c r="C1" t="s">
        <v>61</v>
      </c>
      <c r="D1" t="s">
        <v>60</v>
      </c>
      <c r="E1" t="s">
        <v>59</v>
      </c>
    </row>
    <row r="2" spans="1:5" x14ac:dyDescent="0.2">
      <c r="A2" t="s">
        <v>58</v>
      </c>
      <c r="B2" t="s">
        <v>57</v>
      </c>
      <c r="C2">
        <v>10160897</v>
      </c>
      <c r="D2">
        <v>12781658</v>
      </c>
      <c r="E2" s="5">
        <v>0.79500000000000004</v>
      </c>
    </row>
    <row r="3" spans="1:5" x14ac:dyDescent="0.2">
      <c r="A3" t="s">
        <v>56</v>
      </c>
      <c r="B3" t="s">
        <v>55</v>
      </c>
      <c r="C3">
        <v>6306604</v>
      </c>
      <c r="D3">
        <v>18001320</v>
      </c>
      <c r="E3" s="5">
        <v>0.3503</v>
      </c>
    </row>
    <row r="4" spans="1:5" x14ac:dyDescent="0.2">
      <c r="A4" t="s">
        <v>54</v>
      </c>
      <c r="B4" t="s">
        <v>53</v>
      </c>
      <c r="C4">
        <v>5876797</v>
      </c>
      <c r="D4">
        <v>21714779</v>
      </c>
      <c r="E4" s="5">
        <v>0.27060000000000001</v>
      </c>
    </row>
    <row r="5" spans="1:5" x14ac:dyDescent="0.2">
      <c r="A5" t="s">
        <v>52</v>
      </c>
      <c r="B5" t="s">
        <v>51</v>
      </c>
      <c r="C5">
        <v>1417502</v>
      </c>
      <c r="D5">
        <v>5321025</v>
      </c>
      <c r="E5" s="5">
        <v>0.26640000000000003</v>
      </c>
    </row>
    <row r="6" spans="1:5" x14ac:dyDescent="0.2">
      <c r="A6" t="s">
        <v>50</v>
      </c>
      <c r="B6" t="s">
        <v>49</v>
      </c>
      <c r="C6">
        <v>3981152</v>
      </c>
      <c r="D6">
        <v>15025202</v>
      </c>
      <c r="E6" s="5">
        <v>0.26500000000000001</v>
      </c>
    </row>
    <row r="7" spans="1:5" x14ac:dyDescent="0.2">
      <c r="A7" t="s">
        <v>48</v>
      </c>
      <c r="B7" t="s">
        <v>47</v>
      </c>
      <c r="C7">
        <v>1449254</v>
      </c>
      <c r="D7">
        <v>6038763</v>
      </c>
      <c r="E7" s="5">
        <v>0.24</v>
      </c>
    </row>
    <row r="8" spans="1:5" x14ac:dyDescent="0.2">
      <c r="A8" t="s">
        <v>46</v>
      </c>
      <c r="B8" t="s">
        <v>45</v>
      </c>
      <c r="C8">
        <v>1011527</v>
      </c>
      <c r="D8">
        <v>5174346</v>
      </c>
      <c r="E8" s="5">
        <v>0.19550000000000001</v>
      </c>
    </row>
    <row r="9" spans="1:5" x14ac:dyDescent="0.2">
      <c r="A9" t="s">
        <v>44</v>
      </c>
      <c r="B9" t="s">
        <v>43</v>
      </c>
      <c r="C9">
        <v>593153</v>
      </c>
      <c r="D9">
        <v>3036199</v>
      </c>
      <c r="E9" s="5">
        <v>0.19539999999999999</v>
      </c>
    </row>
    <row r="10" spans="1:5" x14ac:dyDescent="0.2">
      <c r="A10" t="s">
        <v>42</v>
      </c>
      <c r="B10" t="s">
        <v>41</v>
      </c>
      <c r="C10">
        <v>21683</v>
      </c>
      <c r="D10">
        <v>130098</v>
      </c>
      <c r="E10" s="5">
        <v>0.16670000000000001</v>
      </c>
    </row>
    <row r="11" spans="1:5" x14ac:dyDescent="0.2">
      <c r="A11" t="s">
        <v>40</v>
      </c>
      <c r="B11" t="s">
        <v>39</v>
      </c>
      <c r="C11">
        <v>432600</v>
      </c>
      <c r="D11">
        <v>2624796</v>
      </c>
      <c r="E11" s="5">
        <v>0.1648</v>
      </c>
    </row>
    <row r="12" spans="1:5" x14ac:dyDescent="0.2">
      <c r="A12" t="s">
        <v>38</v>
      </c>
      <c r="B12" t="s">
        <v>37</v>
      </c>
      <c r="C12">
        <v>1855288</v>
      </c>
      <c r="D12">
        <v>11861842</v>
      </c>
      <c r="E12" s="5">
        <v>0.15640000000000001</v>
      </c>
    </row>
    <row r="13" spans="1:5" x14ac:dyDescent="0.2">
      <c r="A13" t="s">
        <v>36</v>
      </c>
      <c r="B13" t="s">
        <v>35</v>
      </c>
      <c r="C13">
        <v>861170</v>
      </c>
      <c r="D13">
        <v>5773115</v>
      </c>
      <c r="E13" s="5">
        <v>0.1492</v>
      </c>
    </row>
    <row r="14" spans="1:5" x14ac:dyDescent="0.2">
      <c r="A14" t="s">
        <v>34</v>
      </c>
      <c r="B14" t="s">
        <v>33</v>
      </c>
      <c r="C14">
        <v>672231</v>
      </c>
      <c r="D14">
        <v>5102600</v>
      </c>
      <c r="E14" s="5">
        <v>0.13170000000000001</v>
      </c>
    </row>
    <row r="15" spans="1:5" x14ac:dyDescent="0.2">
      <c r="A15" t="s">
        <v>32</v>
      </c>
      <c r="B15" t="s">
        <v>32</v>
      </c>
      <c r="C15">
        <v>467769</v>
      </c>
      <c r="D15">
        <v>4945119</v>
      </c>
      <c r="E15" s="5">
        <v>9.4600000000000004E-2</v>
      </c>
    </row>
    <row r="16" spans="1:5" x14ac:dyDescent="0.2">
      <c r="A16" t="s">
        <v>31</v>
      </c>
      <c r="B16" t="s">
        <v>30</v>
      </c>
      <c r="C16">
        <v>118870</v>
      </c>
      <c r="D16">
        <v>1343305</v>
      </c>
      <c r="E16" s="5">
        <v>8.8499999999999995E-2</v>
      </c>
    </row>
    <row r="17" spans="1:5" x14ac:dyDescent="0.2">
      <c r="A17" t="s">
        <v>29</v>
      </c>
      <c r="B17" t="s">
        <v>28</v>
      </c>
      <c r="C17">
        <v>321271</v>
      </c>
      <c r="D17">
        <v>3836386</v>
      </c>
      <c r="E17" s="5">
        <v>8.3699999999999997E-2</v>
      </c>
    </row>
    <row r="18" spans="1:5" x14ac:dyDescent="0.2">
      <c r="A18" t="s">
        <v>27</v>
      </c>
      <c r="B18" t="s">
        <v>26</v>
      </c>
      <c r="C18">
        <v>208325</v>
      </c>
      <c r="D18">
        <v>2622248</v>
      </c>
      <c r="E18" s="5">
        <v>7.9399999999999998E-2</v>
      </c>
    </row>
    <row r="19" spans="1:5" x14ac:dyDescent="0.2">
      <c r="A19" t="s">
        <v>25</v>
      </c>
      <c r="B19" t="s">
        <v>24</v>
      </c>
      <c r="C19">
        <v>95204</v>
      </c>
      <c r="D19">
        <v>1800460</v>
      </c>
      <c r="E19" s="5">
        <v>5.2900000000000003E-2</v>
      </c>
    </row>
    <row r="20" spans="1:5" x14ac:dyDescent="0.2">
      <c r="A20" t="s">
        <v>23</v>
      </c>
      <c r="B20" t="s">
        <v>22</v>
      </c>
      <c r="C20">
        <v>429151</v>
      </c>
      <c r="D20">
        <v>8719673</v>
      </c>
      <c r="E20" s="5">
        <v>4.9200000000000001E-2</v>
      </c>
    </row>
    <row r="21" spans="1:5" x14ac:dyDescent="0.2">
      <c r="A21" t="s">
        <v>21</v>
      </c>
      <c r="B21" t="s">
        <v>20</v>
      </c>
      <c r="C21">
        <v>33093</v>
      </c>
      <c r="D21">
        <v>880617</v>
      </c>
      <c r="E21" s="5">
        <v>3.7599999999999995E-2</v>
      </c>
    </row>
    <row r="22" spans="1:5" x14ac:dyDescent="0.2">
      <c r="A22" t="s">
        <v>19</v>
      </c>
      <c r="B22" t="s">
        <v>18</v>
      </c>
      <c r="C22">
        <v>55729</v>
      </c>
      <c r="D22">
        <v>1723432</v>
      </c>
      <c r="E22" s="5">
        <v>3.2300000000000002E-2</v>
      </c>
    </row>
    <row r="23" spans="1:5" x14ac:dyDescent="0.2">
      <c r="E23" s="5"/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Query_1</vt:lpstr>
      <vt:lpstr>Query_1_charts</vt:lpstr>
      <vt:lpstr>Query_6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Senzani Pezzi - filippo.senzanipezzi@studio.unibo.it</dc:creator>
  <cp:lastModifiedBy>Filippo Senzani Pezzi - filippo.senzanipezzi@studio.un</cp:lastModifiedBy>
  <dcterms:created xsi:type="dcterms:W3CDTF">2026-02-09T15:59:41Z</dcterms:created>
  <dcterms:modified xsi:type="dcterms:W3CDTF">2026-02-10T21:17:53Z</dcterms:modified>
</cp:coreProperties>
</file>